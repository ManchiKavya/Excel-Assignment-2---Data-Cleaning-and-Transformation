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276ef9236109f41/Documents/"/>
    </mc:Choice>
  </mc:AlternateContent>
  <xr:revisionPtr revIDLastSave="5" documentId="8_{656D5A30-3A2E-4006-B1BF-AC95CF2367BE}" xr6:coauthVersionLast="47" xr6:coauthVersionMax="47" xr10:uidLastSave="{EEBABFE7-A0D9-4D03-BE33-EBB4F61E6910}"/>
  <bookViews>
    <workbookView xWindow="-108" yWindow="-108" windowWidth="23256" windowHeight="12456" activeTab="3" xr2:uid="{00000000-000D-0000-FFFF-FFFF00000000}"/>
  </bookViews>
  <sheets>
    <sheet name="Instructions" sheetId="1" r:id="rId1"/>
    <sheet name="average using pivot" sheetId="3" r:id="rId2"/>
    <sheet name="explanation" sheetId="5" r:id="rId3"/>
    <sheet name="Dataset" sheetId="2" r:id="rId4"/>
  </sheets>
  <definedNames>
    <definedName name="_xlnm._FilterDatabase" localSheetId="3" hidden="1">Dataset!$A$1:$F$32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rIR6213FxEpgZ/k1UDjxyMHI45/G9Bc960XOAAH4UN4="/>
    </ext>
  </extLst>
</workbook>
</file>

<file path=xl/calcChain.xml><?xml version="1.0" encoding="utf-8"?>
<calcChain xmlns="http://schemas.openxmlformats.org/spreadsheetml/2006/main">
  <c r="I2" i="2" l="1"/>
  <c r="H2" i="2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J7" i="2" l="1" a="1"/>
  <c r="J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<sst xmlns="http://schemas.openxmlformats.org/spreadsheetml/2006/main" count="208" uniqueCount="154">
  <si>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</si>
  <si>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</si>
  <si>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</si>
  <si>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</si>
  <si>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</si>
  <si>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</si>
  <si>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</si>
  <si>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</si>
  <si>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</si>
  <si>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</si>
  <si>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</si>
  <si>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</si>
  <si>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</si>
  <si>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</si>
  <si>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</si>
  <si>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</si>
  <si>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</si>
  <si>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</si>
  <si>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</si>
  <si>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</si>
  <si>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</si>
  <si>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</si>
  <si>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</si>
  <si>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</si>
  <si>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</si>
  <si>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</si>
  <si>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</si>
  <si>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</si>
  <si>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</si>
  <si>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Nike</t>
  </si>
  <si>
    <t>Fashion</t>
  </si>
  <si>
    <t>03-MAR-US</t>
  </si>
  <si>
    <t>Keurig</t>
  </si>
  <si>
    <t>Kitchen</t>
  </si>
  <si>
    <t>11-APR-US</t>
  </si>
  <si>
    <t>Samsung</t>
  </si>
  <si>
    <t>22-MAY-US</t>
  </si>
  <si>
    <t>North Face</t>
  </si>
  <si>
    <t>07-JUN-UK</t>
  </si>
  <si>
    <t>Sony</t>
  </si>
  <si>
    <t>Electroni</t>
  </si>
  <si>
    <t>19-JUL-UK</t>
  </si>
  <si>
    <t>Adidas</t>
  </si>
  <si>
    <t>23-AUG-UK</t>
  </si>
  <si>
    <t>Ninja</t>
  </si>
  <si>
    <t>05-SEP-UK</t>
  </si>
  <si>
    <t>Apple</t>
  </si>
  <si>
    <t>14-OCT-UK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</si>
  <si>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</si>
  <si>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</si>
  <si>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</si>
  <si>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</si>
  <si>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</si>
  <si>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</si>
  <si>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</si>
  <si>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</si>
  <si>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Fitbit</t>
  </si>
  <si>
    <t>16-APR-ES</t>
  </si>
  <si>
    <t>Bose</t>
  </si>
  <si>
    <t>21-AUG-CA</t>
  </si>
  <si>
    <t>Samsonite</t>
  </si>
  <si>
    <t>Accessories</t>
  </si>
  <si>
    <t>20-AUG-CN</t>
  </si>
  <si>
    <t>Huawei</t>
  </si>
  <si>
    <t>27-JAN-IT</t>
  </si>
  <si>
    <t>Asus</t>
  </si>
  <si>
    <t>01-MAR-UK</t>
  </si>
  <si>
    <t>Oakley</t>
  </si>
  <si>
    <t>14-AUG-US</t>
  </si>
  <si>
    <t>Coleman</t>
  </si>
  <si>
    <t>14-MAY-RU</t>
  </si>
  <si>
    <t>Nikon</t>
  </si>
  <si>
    <t>09-JAN-CA</t>
  </si>
  <si>
    <t>Panasonic</t>
  </si>
  <si>
    <t>19-JUL-BR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</si>
  <si>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</si>
  <si>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</si>
  <si>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</si>
  <si>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</si>
  <si>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</si>
  <si>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</si>
  <si>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</si>
  <si>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</si>
  <si>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Zara</t>
  </si>
  <si>
    <t>13-APR-CA</t>
  </si>
  <si>
    <t>Hamilton</t>
  </si>
  <si>
    <t>24-MAY-CA</t>
  </si>
  <si>
    <t>Garmin</t>
  </si>
  <si>
    <t>02-DEC-CA</t>
  </si>
  <si>
    <t>Levi's</t>
  </si>
  <si>
    <t>09-JUL-FR</t>
  </si>
  <si>
    <t>Casio</t>
  </si>
  <si>
    <t>Row Labels</t>
  </si>
  <si>
    <t>(blank)</t>
  </si>
  <si>
    <t>Grand Total</t>
  </si>
  <si>
    <t>Average of Price ($)</t>
  </si>
  <si>
    <t>Sneakers</t>
  </si>
  <si>
    <t>Coffee Maker</t>
  </si>
  <si>
    <t>Backpack</t>
  </si>
  <si>
    <t>Headphones</t>
  </si>
  <si>
    <t>Blender</t>
  </si>
  <si>
    <t>Tablet</t>
  </si>
  <si>
    <t>Hiking Boots</t>
  </si>
  <si>
    <t>Laptop</t>
  </si>
  <si>
    <t>Smartwatch</t>
  </si>
  <si>
    <t>Laptop Bag</t>
  </si>
  <si>
    <t>Sunglasses</t>
  </si>
  <si>
    <t>Camping Tent</t>
  </si>
  <si>
    <t>Camera</t>
  </si>
  <si>
    <t>Microwave</t>
  </si>
  <si>
    <t>Fitness Tracker</t>
  </si>
  <si>
    <t>Smartphone</t>
  </si>
  <si>
    <t>Dress</t>
  </si>
  <si>
    <t>Toaster</t>
  </si>
  <si>
    <t>Jeans</t>
  </si>
  <si>
    <t>Watch</t>
  </si>
  <si>
    <t>T-Shirt</t>
  </si>
  <si>
    <t>Manufacturing Date</t>
  </si>
  <si>
    <t>Country Code</t>
  </si>
  <si>
    <t>Product Brand</t>
  </si>
  <si>
    <t>\</t>
  </si>
  <si>
    <t>Checked product type and matched with similar items already categorized.</t>
  </si>
  <si>
    <t>→ Issue: Mixed capitalization (Laptop vs laptop).</t>
  </si>
  <si>
    <t>→ Fixed: Used PROPER function → now all names in proper case.</t>
  </si>
  <si>
    <t>→ Issue: Typo 'Electroni' in Category column.</t>
  </si>
  <si>
    <t>→ Fixed: Corrected to 'Electronics' using Find &amp; Replace.</t>
  </si>
  <si>
    <t>→ Checked entire table for duplicates.</t>
  </si>
  <si>
    <t>→ Used Remove Duplicates option.</t>
  </si>
  <si>
    <t>→ Deleted duplicate rows → dataset is clean.</t>
  </si>
  <si>
    <t>→ Used LEFT function → Manufacturing Date.</t>
  </si>
  <si>
    <t>→ Used RIGHT function → Country Code.</t>
  </si>
  <si>
    <t>→ Removed dashes → clean values.</t>
  </si>
  <si>
    <t>→ Result: Two separate columns created.</t>
  </si>
  <si>
    <t>→ Used CONCATENATE function to join Brand Name and Product Name.</t>
  </si>
  <si>
    <t>→ Created new column 'Product Brand' (e.g.Laptop Dell,sneakers nike).</t>
  </si>
  <si>
    <t>→ Selected Price column.</t>
  </si>
  <si>
    <t>→ Applied Format Cells → Currency.</t>
  </si>
  <si>
    <t xml:space="preserve">→ Prices now show in ₹ </t>
  </si>
  <si>
    <t>→ Converted text using Text to Columns.</t>
  </si>
  <si>
    <t>→ Applied Format Cells → Date → DD-MM-YYYY.</t>
  </si>
  <si>
    <t>→ Dates now show in proper format.</t>
  </si>
  <si>
    <t>→ Applied Conditional Formatting → Data Bars/Color Scales.</t>
  </si>
  <si>
    <t>→ Result: Easy to compare high vs low prices visually.</t>
  </si>
  <si>
    <t>→ Selected Category column.</t>
  </si>
  <si>
    <t>→ Applied Highlight Cell Rule → Equal To 'Electronics'.</t>
  </si>
  <si>
    <t>→ Chose fill color.</t>
  </si>
  <si>
    <t>→ Result: All 'Electronics' cells highlighted.</t>
  </si>
  <si>
    <t>→ Found blank cells in Price column.</t>
  </si>
  <si>
    <t>→ Did not delete rows (other fields complete).</t>
  </si>
  <si>
    <t>→ Used AVERAGE(D2:D35) to calculate overall average.</t>
  </si>
  <si>
    <r>
      <t>Backpack (North Face)</t>
    </r>
    <r>
      <rPr>
        <sz val="12"/>
        <color rgb="FF000000"/>
        <rFont val="Calibri"/>
        <family val="2"/>
      </rPr>
      <t xml:space="preserve"> → Assigned to </t>
    </r>
    <r>
      <rPr>
        <b/>
        <sz val="12"/>
        <color rgb="FF000000"/>
        <rFont val="Calibri"/>
        <family val="2"/>
      </rPr>
      <t>Accessories</t>
    </r>
    <r>
      <rPr>
        <sz val="12"/>
        <color rgb="FF000000"/>
        <rFont val="Calibri"/>
        <family val="2"/>
      </rPr>
      <t xml:space="preserve"> (bags and laptop bags already exist in Accessories).</t>
    </r>
  </si>
  <si>
    <r>
      <t>Sneakers (Adidas)</t>
    </r>
    <r>
      <rPr>
        <sz val="12"/>
        <color rgb="FF000000"/>
        <rFont val="Calibri"/>
        <family val="2"/>
      </rPr>
      <t xml:space="preserve"> → Assigned to </t>
    </r>
    <r>
      <rPr>
        <b/>
        <sz val="12"/>
        <color rgb="FF000000"/>
        <rFont val="Calibri"/>
        <family val="2"/>
      </rPr>
      <t>Fashion</t>
    </r>
    <r>
      <rPr>
        <sz val="12"/>
        <color rgb="FF000000"/>
        <rFont val="Calibri"/>
        <family val="2"/>
      </rPr>
      <t xml:space="preserve"> (consistent with Nike sneakers under Fashion).</t>
    </r>
  </si>
  <si>
    <r>
      <t>Coffee Maker (Nespresso)</t>
    </r>
    <r>
      <rPr>
        <sz val="12"/>
        <color rgb="FF000000"/>
        <rFont val="Calibri"/>
        <family val="2"/>
      </rPr>
      <t xml:space="preserve"> → Assigned to </t>
    </r>
    <r>
      <rPr>
        <b/>
        <sz val="12"/>
        <color rgb="FF000000"/>
        <rFont val="Calibri"/>
        <family val="2"/>
      </rPr>
      <t>Kitchen</t>
    </r>
    <r>
      <rPr>
        <sz val="12"/>
        <color rgb="FF000000"/>
        <rFont val="Calibri"/>
        <family val="2"/>
      </rPr>
      <t xml:space="preserve"> (same as Keurig, Ninja, Panasonic appliances).</t>
    </r>
  </si>
  <si>
    <r>
      <t>Fitness Tracker (Xiaomi)</t>
    </r>
    <r>
      <rPr>
        <sz val="12"/>
        <color rgb="FF000000"/>
        <rFont val="Calibri"/>
        <family val="2"/>
      </rPr>
      <t xml:space="preserve"> → Assigned to </t>
    </r>
    <r>
      <rPr>
        <b/>
        <sz val="12"/>
        <color rgb="FF000000"/>
        <rFont val="Calibri"/>
        <family val="2"/>
      </rPr>
      <t>Electronics</t>
    </r>
    <r>
      <rPr>
        <sz val="12"/>
        <color rgb="FF000000"/>
        <rFont val="Calibri"/>
        <family val="2"/>
      </rPr>
      <t xml:space="preserve"> (same as Fitbit, Garmin, Huawei trackers).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</si>
</sst>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/mm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5" fontId="5" fillId="0" borderId="0" xfId="0" applyNumberFormat="1" applyFont="1"/>
    <xf numFmtId="165" fontId="5" fillId="3" borderId="0" xfId="0" applyNumberFormat="1" applyFont="1" applyFill="1"/>
    <xf numFmtId="0" fontId="9" fillId="0" borderId="0" xfId="0" applyFont="1"/>
    <xf numFmtId="0" fontId="10" fillId="4" borderId="0" xfId="0" applyFont="1" applyFill="1"/>
    <xf numFmtId="0" fontId="11" fillId="5" borderId="0" xfId="0" applyFont="1" applyFill="1" applyAlignment="1">
      <alignment vertical="center"/>
    </xf>
    <xf numFmtId="0" fontId="12" fillId="5" borderId="0" xfId="0" applyFont="1" applyFill="1"/>
    <xf numFmtId="0" fontId="11" fillId="5" borderId="0" xfId="0" applyFont="1" applyFill="1"/>
    <xf numFmtId="0" fontId="10" fillId="6" borderId="0" xfId="0" applyFont="1" applyFill="1"/>
  </cellXfs>
  <cellStyles count="1">
    <cellStyle name="Normal" xfId="0" builtinId="0"/>
  </cellStyles>
  <dxfs count="12">
    <dxf>
      <font>
        <b val="0"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d/mm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1.414487499998" createdVersion="8" refreshedVersion="8" minRefreshableVersion="3" recordCount="48" xr:uid="{C419F773-39DA-494A-8513-65E9F0BB058F}">
  <cacheSource type="worksheet">
    <worksheetSource ref="A1:F1048576" sheet="Dataset"/>
  </cacheSource>
  <cacheFields count="6">
    <cacheField name="Product ID" numFmtId="0">
      <sharedItems containsBlank="1"/>
    </cacheField>
    <cacheField name="Product Name" numFmtId="0">
      <sharedItems containsBlank="1"/>
    </cacheField>
    <cacheField name="Brand Name" numFmtId="0">
      <sharedItems containsBlank="1"/>
    </cacheField>
    <cacheField name="Price ($)" numFmtId="2">
      <sharedItems containsString="0" containsBlank="1" containsNumber="1" containsInteger="1" minValue="30" maxValue="1000"/>
    </cacheField>
    <cacheField name="Quantity" numFmtId="0">
      <sharedItems containsString="0" containsBlank="1" containsNumber="1" containsInteger="1" minValue="5" maxValue="50"/>
    </cacheField>
    <cacheField name="Category" numFmtId="0">
      <sharedItems containsBlank="1" count="7">
        <s v="Electronics"/>
        <s v="Fashion"/>
        <s v="Kitchen"/>
        <m/>
        <s v="Electroni"/>
        <s v="Outdoor"/>
        <s v="Accessor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28-JAN-US"/>
    <s v="laptop"/>
    <s v="Dell"/>
    <n v="1000"/>
    <n v="30"/>
    <x v="0"/>
  </r>
  <r>
    <s v="15-FEB-US"/>
    <s v="Sneakers"/>
    <s v="Nike"/>
    <n v="80"/>
    <n v="15"/>
    <x v="1"/>
  </r>
  <r>
    <s v="03-MAR-US"/>
    <s v="Coffee Maker"/>
    <s v="Keurig"/>
    <n v="130"/>
    <n v="40"/>
    <x v="2"/>
  </r>
  <r>
    <s v="11-APR-US"/>
    <s v="smartphone"/>
    <s v="Samsung"/>
    <n v="900"/>
    <n v="25"/>
    <x v="0"/>
  </r>
  <r>
    <s v="22-MAY-US"/>
    <s v="Backpack"/>
    <s v="North Face"/>
    <n v="70"/>
    <n v="20"/>
    <x v="3"/>
  </r>
  <r>
    <s v="07-JUN-UK"/>
    <s v="Headphones"/>
    <s v="Sony"/>
    <n v="309"/>
    <n v="45"/>
    <x v="4"/>
  </r>
  <r>
    <s v="19-JUL-UK"/>
    <s v="T-shirt"/>
    <s v="Adidas"/>
    <n v="30"/>
    <n v="5"/>
    <x v="1"/>
  </r>
  <r>
    <s v="23-AUG-UK"/>
    <s v="Blender"/>
    <s v="Ninja"/>
    <n v="90"/>
    <n v="35"/>
    <x v="2"/>
  </r>
  <r>
    <s v="05-SEP-UK"/>
    <s v="Tablet"/>
    <s v="Apple"/>
    <n v="500"/>
    <n v="50"/>
    <x v="0"/>
  </r>
  <r>
    <s v="14-OCT-UK"/>
    <s v="Hiking Boots"/>
    <s v="Timberland"/>
    <n v="130"/>
    <n v="10"/>
    <x v="5"/>
  </r>
  <r>
    <s v="17-JUN-IN"/>
    <s v="laptop"/>
    <s v="HP"/>
    <n v="950"/>
    <n v="25"/>
    <x v="0"/>
  </r>
  <r>
    <s v="25-NOV-AU"/>
    <s v="Sneakers"/>
    <s v="Adidas"/>
    <n v="90"/>
    <n v="40"/>
    <x v="3"/>
  </r>
  <r>
    <s v="08-DEC-DE"/>
    <s v="Coffee Maker"/>
    <s v="Nespresso"/>
    <n v="120"/>
    <n v="35"/>
    <x v="3"/>
  </r>
  <r>
    <s v="18-FEB-CA"/>
    <s v="Smartwatch"/>
    <s v="Fitbit"/>
    <n v="150"/>
    <n v="15"/>
    <x v="4"/>
  </r>
  <r>
    <s v="16-APR-ES"/>
    <s v="Headphones"/>
    <s v="Bose"/>
    <n v="250"/>
    <n v="20"/>
    <x v="4"/>
  </r>
  <r>
    <s v="21-AUG-CA"/>
    <s v="Laptop Bag"/>
    <s v="Samsonite"/>
    <n v="50"/>
    <n v="35"/>
    <x v="6"/>
  </r>
  <r>
    <s v="20-AUG-CN"/>
    <s v="Smartwatch"/>
    <s v="Huawei"/>
    <n v="160"/>
    <n v="15"/>
    <x v="4"/>
  </r>
  <r>
    <s v="27-JAN-IT"/>
    <s v="laptop"/>
    <s v="Asus"/>
    <n v="980"/>
    <n v="10"/>
    <x v="0"/>
  </r>
  <r>
    <s v="01-MAR-UK"/>
    <s v="Sunglasses"/>
    <s v="Oakley"/>
    <n v="150"/>
    <n v="15"/>
    <x v="1"/>
  </r>
  <r>
    <s v="14-AUG-US"/>
    <s v="Camping Tent"/>
    <s v="Coleman"/>
    <n v="309"/>
    <n v="10"/>
    <x v="5"/>
  </r>
  <r>
    <s v="14-MAY-RU"/>
    <s v="Camera"/>
    <s v="Nikon"/>
    <n v="700"/>
    <n v="50"/>
    <x v="0"/>
  </r>
  <r>
    <s v="09-JAN-CA"/>
    <s v="Microwave"/>
    <s v="Panasonic"/>
    <n v="80"/>
    <n v="20"/>
    <x v="2"/>
  </r>
  <r>
    <s v="19-JUL-BR"/>
    <s v="Fitness Tracker"/>
    <s v="Xiaomi"/>
    <n v="150"/>
    <n v="30"/>
    <x v="3"/>
  </r>
  <r>
    <s v="21-AUG-CA"/>
    <s v="Laptop Bag"/>
    <s v="Samsonite"/>
    <n v="50"/>
    <n v="35"/>
    <x v="6"/>
  </r>
  <r>
    <s v="29-SEP-CA"/>
    <s v="smartphone"/>
    <s v="Google"/>
    <n v="800"/>
    <n v="45"/>
    <x v="0"/>
  </r>
  <r>
    <s v="03-JUN-CA"/>
    <s v="Sunglasses"/>
    <s v="Ray-Ban"/>
    <n v="309"/>
    <n v="25"/>
    <x v="1"/>
  </r>
  <r>
    <s v="11-JUL-CA"/>
    <s v="Blender"/>
    <s v="Vitamix"/>
    <n v="400"/>
    <n v="40"/>
    <x v="2"/>
  </r>
  <r>
    <s v="16-APR-ES"/>
    <s v="Headphones"/>
    <s v="Bose"/>
    <n v="250"/>
    <n v="20"/>
    <x v="4"/>
  </r>
  <r>
    <s v="07-MAR-CA"/>
    <s v="Dress"/>
    <s v="Zara"/>
    <n v="60"/>
    <n v="30"/>
    <x v="1"/>
  </r>
  <r>
    <s v="13-APR-CA"/>
    <s v="Toaster"/>
    <s v="Hamilton"/>
    <n v="40"/>
    <n v="10"/>
    <x v="2"/>
  </r>
  <r>
    <s v="24-MAY-CA"/>
    <s v="Fitness Tracker"/>
    <s v="Garmin"/>
    <n v="130"/>
    <n v="5"/>
    <x v="0"/>
  </r>
  <r>
    <s v="02-DEC-CA"/>
    <s v="Jeans"/>
    <s v="Levi's"/>
    <n v="50"/>
    <n v="50"/>
    <x v="1"/>
  </r>
  <r>
    <s v="17-JUN-IN"/>
    <s v="laptop"/>
    <s v="HP"/>
    <n v="950"/>
    <n v="25"/>
    <x v="0"/>
  </r>
  <r>
    <s v="09-JUL-FR"/>
    <s v="Watch"/>
    <s v="Casio"/>
    <n v="100"/>
    <n v="20"/>
    <x v="6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  <r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594B9-3D3D-4FB1-AE88-797B0F7966A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 includeNewItemsInFilter="1" avgSubtotal="1">
      <items count="8">
        <item x="6"/>
        <item x="4"/>
        <item x="0"/>
        <item x="1"/>
        <item x="2"/>
        <item x="5"/>
        <item x="3"/>
        <item t="avg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ice ($)" fld="3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5FECD-1152-4CA1-A3B0-88D5A500A2A7}" name="Table1" displayName="Table1" ref="A1:I32" totalsRowShown="0" headerRowDxfId="11" dataDxfId="10">
  <autoFilter ref="A1:I32" xr:uid="{00000000-0001-0000-0100-000000000000}"/>
  <tableColumns count="9">
    <tableColumn id="1" xr3:uid="{DD266EF6-DE54-4FF0-862C-19EAD3D7E79C}" name="Product ID" dataDxfId="9"/>
    <tableColumn id="2" xr3:uid="{23EC5864-8FBC-4B42-BC05-2A1927FB7596}" name="Product Name" dataDxfId="8"/>
    <tableColumn id="3" xr3:uid="{D8FAB27F-C717-46BD-9298-799B7D490DB5}" name="Brand Name" dataDxfId="7"/>
    <tableColumn id="4" xr3:uid="{93AA07C9-3C75-4D12-9F8D-31EDC5484557}" name="Price ($)" dataDxfId="6"/>
    <tableColumn id="5" xr3:uid="{92E117E5-D6AA-48C7-9F70-FB9E4FDBBC18}" name="Quantity" dataDxfId="5"/>
    <tableColumn id="6" xr3:uid="{C73AED26-D620-4333-85AE-E482AE261F86}" name="Category" dataDxfId="4"/>
    <tableColumn id="10" xr3:uid="{4DAE33AE-C44E-4D98-898A-D77CFB2A433C}" name="Manufacturing Date" dataDxfId="1"/>
    <tableColumn id="8" xr3:uid="{7BA5BA81-27A0-4594-B951-FFD4B86BD661}" name="Country Code" dataDxfId="3">
      <calculatedColumnFormula>RIGHT(Table1[[#This Row],[Product ID]],2)</calculatedColumnFormula>
    </tableColumn>
    <tableColumn id="9" xr3:uid="{3D71442A-FFF4-4722-95D7-92C0EAFB6CE6}" name="Product Brand" dataDxfId="2">
      <calculatedColumnFormula>CONCATENATE(Table1[[#This Row],[Product Name]], " ", Table1[[#This Row],[Brand Name]])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I8" sqref="I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12" t="s">
        <v>3</v>
      </c>
    </row>
    <row r="6" spans="1:11" ht="15.75" customHeight="1" x14ac:dyDescent="0.3">
      <c r="B6" s="4" t="s">
        <v>120</v>
      </c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7B0F-4CFB-4078-89E3-24746D2F6824}">
  <dimension ref="A3:B11"/>
  <sheetViews>
    <sheetView workbookViewId="0">
      <selection activeCell="E18" sqref="E18"/>
    </sheetView>
  </sheetViews>
  <sheetFormatPr defaultRowHeight="13.2" x14ac:dyDescent="0.25"/>
  <cols>
    <col min="1" max="1" width="13.33203125" bestFit="1" customWidth="1"/>
    <col min="2" max="2" width="18.44140625" bestFit="1" customWidth="1"/>
  </cols>
  <sheetData>
    <row r="3" spans="1:2" x14ac:dyDescent="0.25">
      <c r="A3" s="10" t="s">
        <v>92</v>
      </c>
      <c r="B3" t="s">
        <v>95</v>
      </c>
    </row>
    <row r="4" spans="1:2" x14ac:dyDescent="0.25">
      <c r="A4" s="11" t="s">
        <v>61</v>
      </c>
      <c r="B4">
        <v>66.666666666666671</v>
      </c>
    </row>
    <row r="5" spans="1:2" x14ac:dyDescent="0.25">
      <c r="A5" s="11" t="s">
        <v>40</v>
      </c>
      <c r="B5">
        <v>223.8</v>
      </c>
    </row>
    <row r="6" spans="1:2" x14ac:dyDescent="0.25">
      <c r="A6" s="11" t="s">
        <v>27</v>
      </c>
      <c r="B6">
        <v>767.77777777777783</v>
      </c>
    </row>
    <row r="7" spans="1:2" x14ac:dyDescent="0.25">
      <c r="A7" s="11" t="s">
        <v>30</v>
      </c>
      <c r="B7">
        <v>113.16666666666667</v>
      </c>
    </row>
    <row r="8" spans="1:2" x14ac:dyDescent="0.25">
      <c r="A8" s="11" t="s">
        <v>33</v>
      </c>
      <c r="B8">
        <v>148</v>
      </c>
    </row>
    <row r="9" spans="1:2" x14ac:dyDescent="0.25">
      <c r="A9" s="11" t="s">
        <v>49</v>
      </c>
      <c r="B9">
        <v>219.5</v>
      </c>
    </row>
    <row r="10" spans="1:2" x14ac:dyDescent="0.25">
      <c r="A10" s="11" t="s">
        <v>93</v>
      </c>
      <c r="B10">
        <v>107.5</v>
      </c>
    </row>
    <row r="11" spans="1:2" x14ac:dyDescent="0.25">
      <c r="A11" s="11" t="s">
        <v>94</v>
      </c>
      <c r="B11">
        <v>309.3235294117647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8276-9577-418E-97F1-2E1C4BD993F2}">
  <dimension ref="A1:A68"/>
  <sheetViews>
    <sheetView showFormulas="1" showGridLines="0" zoomScale="73" zoomScaleNormal="73" workbookViewId="0">
      <selection activeCell="D35" sqref="D35"/>
    </sheetView>
  </sheetViews>
  <sheetFormatPr defaultRowHeight="13.2" x14ac:dyDescent="0.25"/>
  <cols>
    <col min="1" max="1" width="67.33203125" customWidth="1"/>
  </cols>
  <sheetData>
    <row r="1" spans="1:1" ht="21" x14ac:dyDescent="0.4">
      <c r="A1" s="19" t="s">
        <v>2</v>
      </c>
    </row>
    <row r="3" spans="1:1" ht="15.6" x14ac:dyDescent="0.25">
      <c r="A3" s="20" t="s">
        <v>147</v>
      </c>
    </row>
    <row r="4" spans="1:1" ht="15.6" x14ac:dyDescent="0.25">
      <c r="A4" s="20" t="s">
        <v>148</v>
      </c>
    </row>
    <row r="5" spans="1:1" ht="15.6" x14ac:dyDescent="0.25">
      <c r="A5" s="20" t="s">
        <v>149</v>
      </c>
    </row>
    <row r="7" spans="1:1" ht="21" x14ac:dyDescent="0.4">
      <c r="A7" s="19" t="s">
        <v>3</v>
      </c>
    </row>
    <row r="9" spans="1:1" ht="15.6" x14ac:dyDescent="0.3">
      <c r="A9" s="21" t="s">
        <v>150</v>
      </c>
    </row>
    <row r="10" spans="1:1" x14ac:dyDescent="0.25">
      <c r="A10" s="18"/>
    </row>
    <row r="11" spans="1:1" ht="15.6" x14ac:dyDescent="0.3">
      <c r="A11" s="21" t="s">
        <v>151</v>
      </c>
    </row>
    <row r="13" spans="1:1" ht="15.6" x14ac:dyDescent="0.3">
      <c r="A13" s="21" t="s">
        <v>152</v>
      </c>
    </row>
    <row r="15" spans="1:1" ht="15.6" x14ac:dyDescent="0.3">
      <c r="A15" s="21" t="s">
        <v>153</v>
      </c>
    </row>
    <row r="17" spans="1:1" ht="15.6" x14ac:dyDescent="0.3">
      <c r="A17" s="22" t="s">
        <v>121</v>
      </c>
    </row>
    <row r="19" spans="1:1" ht="21" x14ac:dyDescent="0.4">
      <c r="A19" s="19" t="s">
        <v>5</v>
      </c>
    </row>
    <row r="21" spans="1:1" ht="15.6" x14ac:dyDescent="0.25">
      <c r="A21" s="20" t="s">
        <v>122</v>
      </c>
    </row>
    <row r="22" spans="1:1" ht="15.6" x14ac:dyDescent="0.25">
      <c r="A22" s="20" t="s">
        <v>123</v>
      </c>
    </row>
    <row r="24" spans="1:1" ht="21" x14ac:dyDescent="0.4">
      <c r="A24" s="19" t="s">
        <v>6</v>
      </c>
    </row>
    <row r="26" spans="1:1" ht="15.6" x14ac:dyDescent="0.25">
      <c r="A26" s="20" t="s">
        <v>124</v>
      </c>
    </row>
    <row r="27" spans="1:1" ht="15.6" x14ac:dyDescent="0.25">
      <c r="A27" s="20" t="s">
        <v>125</v>
      </c>
    </row>
    <row r="29" spans="1:1" ht="21" x14ac:dyDescent="0.4">
      <c r="A29" s="19" t="s">
        <v>9</v>
      </c>
    </row>
    <row r="31" spans="1:1" ht="15.6" x14ac:dyDescent="0.25">
      <c r="A31" s="20" t="s">
        <v>126</v>
      </c>
    </row>
    <row r="32" spans="1:1" ht="15.6" x14ac:dyDescent="0.25">
      <c r="A32" s="20" t="s">
        <v>127</v>
      </c>
    </row>
    <row r="33" spans="1:1" ht="15.6" x14ac:dyDescent="0.25">
      <c r="A33" s="20" t="s">
        <v>128</v>
      </c>
    </row>
    <row r="35" spans="1:1" ht="21" x14ac:dyDescent="0.4">
      <c r="A35" s="19" t="s">
        <v>11</v>
      </c>
    </row>
    <row r="37" spans="1:1" ht="15.6" x14ac:dyDescent="0.25">
      <c r="A37" s="20" t="s">
        <v>129</v>
      </c>
    </row>
    <row r="38" spans="1:1" ht="15.6" x14ac:dyDescent="0.25">
      <c r="A38" s="20" t="s">
        <v>130</v>
      </c>
    </row>
    <row r="39" spans="1:1" ht="15.6" x14ac:dyDescent="0.25">
      <c r="A39" s="20" t="s">
        <v>131</v>
      </c>
    </row>
    <row r="40" spans="1:1" ht="15.6" x14ac:dyDescent="0.25">
      <c r="A40" s="20" t="s">
        <v>132</v>
      </c>
    </row>
    <row r="41" spans="1:1" ht="21" x14ac:dyDescent="0.4">
      <c r="A41" s="23" t="s">
        <v>12</v>
      </c>
    </row>
    <row r="42" spans="1:1" ht="15.6" x14ac:dyDescent="0.25">
      <c r="A42" s="20" t="s">
        <v>133</v>
      </c>
    </row>
    <row r="43" spans="1:1" ht="15.6" x14ac:dyDescent="0.25">
      <c r="A43" s="20" t="s">
        <v>134</v>
      </c>
    </row>
    <row r="45" spans="1:1" ht="21" x14ac:dyDescent="0.4">
      <c r="A45" s="19" t="s">
        <v>14</v>
      </c>
    </row>
    <row r="47" spans="1:1" ht="15.6" x14ac:dyDescent="0.25">
      <c r="A47" s="20" t="s">
        <v>135</v>
      </c>
    </row>
    <row r="48" spans="1:1" ht="15.6" x14ac:dyDescent="0.25">
      <c r="A48" s="20" t="s">
        <v>136</v>
      </c>
    </row>
    <row r="49" spans="1:1" ht="15.6" x14ac:dyDescent="0.25">
      <c r="A49" s="20" t="s">
        <v>137</v>
      </c>
    </row>
    <row r="51" spans="1:1" ht="21" x14ac:dyDescent="0.4">
      <c r="A51" s="19" t="s">
        <v>15</v>
      </c>
    </row>
    <row r="53" spans="1:1" ht="15.6" x14ac:dyDescent="0.25">
      <c r="A53" s="20" t="s">
        <v>138</v>
      </c>
    </row>
    <row r="54" spans="1:1" ht="15.6" x14ac:dyDescent="0.25">
      <c r="A54" s="20" t="s">
        <v>139</v>
      </c>
    </row>
    <row r="55" spans="1:1" ht="15.6" x14ac:dyDescent="0.25">
      <c r="A55" s="20" t="s">
        <v>140</v>
      </c>
    </row>
    <row r="57" spans="1:1" ht="21" x14ac:dyDescent="0.4">
      <c r="A57" s="19" t="s">
        <v>17</v>
      </c>
    </row>
    <row r="59" spans="1:1" ht="15.6" x14ac:dyDescent="0.25">
      <c r="A59" s="20" t="s">
        <v>135</v>
      </c>
    </row>
    <row r="60" spans="1:1" ht="15.6" x14ac:dyDescent="0.25">
      <c r="A60" s="20" t="s">
        <v>141</v>
      </c>
    </row>
    <row r="61" spans="1:1" ht="15.6" x14ac:dyDescent="0.25">
      <c r="A61" s="20" t="s">
        <v>142</v>
      </c>
    </row>
    <row r="63" spans="1:1" ht="21" x14ac:dyDescent="0.4">
      <c r="A63" s="19" t="s">
        <v>18</v>
      </c>
    </row>
    <row r="65" spans="1:1" ht="15.6" x14ac:dyDescent="0.25">
      <c r="A65" s="20" t="s">
        <v>143</v>
      </c>
    </row>
    <row r="66" spans="1:1" ht="15.6" x14ac:dyDescent="0.25">
      <c r="A66" s="20" t="s">
        <v>144</v>
      </c>
    </row>
    <row r="67" spans="1:1" ht="15.6" x14ac:dyDescent="0.25">
      <c r="A67" s="20" t="s">
        <v>145</v>
      </c>
    </row>
    <row r="68" spans="1:1" ht="15.6" x14ac:dyDescent="0.25">
      <c r="A68" s="20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workbookViewId="0">
      <selection activeCell="K4" sqref="K4"/>
    </sheetView>
  </sheetViews>
  <sheetFormatPr defaultColWidth="12.6640625" defaultRowHeight="15" customHeight="1" x14ac:dyDescent="0.25"/>
  <cols>
    <col min="1" max="1" width="12.6640625" customWidth="1"/>
    <col min="2" max="2" width="25.44140625" customWidth="1"/>
    <col min="3" max="3" width="13.6640625" customWidth="1"/>
    <col min="4" max="6" width="12.6640625" customWidth="1"/>
    <col min="7" max="7" width="19.88671875" customWidth="1"/>
    <col min="8" max="8" width="11.5546875" customWidth="1"/>
    <col min="9" max="9" width="40.21875" customWidth="1"/>
  </cols>
  <sheetData>
    <row r="1" spans="1:17" ht="15.75" customHeight="1" x14ac:dyDescent="0.25">
      <c r="A1" s="7" t="s">
        <v>19</v>
      </c>
      <c r="B1" s="7" t="s">
        <v>20</v>
      </c>
      <c r="C1" s="7" t="s">
        <v>21</v>
      </c>
      <c r="D1" s="13" t="s">
        <v>22</v>
      </c>
      <c r="E1" s="7" t="s">
        <v>23</v>
      </c>
      <c r="F1" s="7" t="s">
        <v>24</v>
      </c>
      <c r="G1" s="7" t="s">
        <v>117</v>
      </c>
      <c r="H1" s="7" t="s">
        <v>118</v>
      </c>
      <c r="I1" s="7" t="s">
        <v>119</v>
      </c>
    </row>
    <row r="2" spans="1:17" ht="15.75" customHeight="1" x14ac:dyDescent="0.25">
      <c r="A2" s="5" t="s">
        <v>25</v>
      </c>
      <c r="B2" s="5" t="s">
        <v>103</v>
      </c>
      <c r="C2" s="5" t="s">
        <v>26</v>
      </c>
      <c r="D2" s="14">
        <v>1000</v>
      </c>
      <c r="E2" s="5">
        <v>30</v>
      </c>
      <c r="F2" s="5" t="s">
        <v>27</v>
      </c>
      <c r="G2" s="16">
        <v>46050</v>
      </c>
      <c r="H2" s="8" t="str">
        <f>RIGHT(Table1[[#This Row],[Product ID]],2)</f>
        <v>US</v>
      </c>
      <c r="I2" s="8" t="str">
        <f>CONCATENATE(Table1[[#This Row],[Product Name]], " ", Table1[[#This Row],[Brand Name]])</f>
        <v>Laptop Dell</v>
      </c>
    </row>
    <row r="3" spans="1:17" ht="15.75" customHeight="1" x14ac:dyDescent="0.3">
      <c r="A3" s="8" t="s">
        <v>28</v>
      </c>
      <c r="B3" s="8" t="s">
        <v>96</v>
      </c>
      <c r="C3" s="8" t="s">
        <v>29</v>
      </c>
      <c r="D3" s="15">
        <v>80</v>
      </c>
      <c r="E3" s="8">
        <v>15</v>
      </c>
      <c r="F3" s="8" t="s">
        <v>30</v>
      </c>
      <c r="G3" s="17">
        <v>46068</v>
      </c>
      <c r="H3" s="8" t="str">
        <f>RIGHT(Table1[[#This Row],[Product ID]],2)</f>
        <v>US</v>
      </c>
      <c r="I3" s="8" t="str">
        <f>CONCATENATE(Table1[[#This Row],[Product Name]], " ", Table1[[#This Row],[Brand Name]])</f>
        <v>Sneakers Nike</v>
      </c>
      <c r="J3" s="2"/>
      <c r="K3" s="5"/>
      <c r="L3" s="5"/>
      <c r="M3" s="5"/>
      <c r="N3" s="5"/>
      <c r="O3" s="5"/>
      <c r="P3" s="5"/>
      <c r="Q3" s="5"/>
    </row>
    <row r="4" spans="1:17" ht="15.75" customHeight="1" x14ac:dyDescent="0.3">
      <c r="A4" s="5" t="s">
        <v>31</v>
      </c>
      <c r="B4" s="5" t="s">
        <v>97</v>
      </c>
      <c r="C4" s="5" t="s">
        <v>32</v>
      </c>
      <c r="D4" s="14">
        <v>130</v>
      </c>
      <c r="E4" s="5">
        <v>40</v>
      </c>
      <c r="F4" s="5" t="s">
        <v>33</v>
      </c>
      <c r="G4" s="16">
        <v>46084</v>
      </c>
      <c r="H4" s="8" t="str">
        <f>RIGHT(Table1[[#This Row],[Product ID]],2)</f>
        <v>US</v>
      </c>
      <c r="I4" s="8" t="str">
        <f>CONCATENATE(Table1[[#This Row],[Product Name]], " ", Table1[[#This Row],[Brand Name]])</f>
        <v>Coffee Maker Keurig</v>
      </c>
      <c r="J4" s="5"/>
      <c r="K4" s="3"/>
      <c r="L4" s="5"/>
      <c r="M4" s="5"/>
      <c r="N4" s="5"/>
      <c r="O4" s="5"/>
      <c r="P4" s="5"/>
      <c r="Q4" s="5"/>
    </row>
    <row r="5" spans="1:17" ht="15.75" customHeight="1" x14ac:dyDescent="0.3">
      <c r="A5" s="8" t="s">
        <v>34</v>
      </c>
      <c r="B5" s="8" t="s">
        <v>111</v>
      </c>
      <c r="C5" s="8" t="s">
        <v>35</v>
      </c>
      <c r="D5" s="15">
        <v>900</v>
      </c>
      <c r="E5" s="8">
        <v>25</v>
      </c>
      <c r="F5" s="8" t="s">
        <v>27</v>
      </c>
      <c r="G5" s="17">
        <v>46123</v>
      </c>
      <c r="H5" s="8" t="str">
        <f>RIGHT(Table1[[#This Row],[Product ID]],2)</f>
        <v>US</v>
      </c>
      <c r="I5" s="8" t="str">
        <f>CONCATENATE(Table1[[#This Row],[Product Name]], " ", Table1[[#This Row],[Brand Name]])</f>
        <v>Smartphone Samsung</v>
      </c>
      <c r="J5" s="5"/>
      <c r="K5" s="3"/>
      <c r="L5" s="5"/>
      <c r="M5" s="5"/>
      <c r="N5" s="5"/>
      <c r="O5" s="5"/>
      <c r="P5" s="5"/>
      <c r="Q5" s="5"/>
    </row>
    <row r="6" spans="1:17" ht="15.75" customHeight="1" x14ac:dyDescent="0.25">
      <c r="A6" s="5" t="s">
        <v>36</v>
      </c>
      <c r="B6" s="5" t="s">
        <v>98</v>
      </c>
      <c r="C6" s="5" t="s">
        <v>37</v>
      </c>
      <c r="D6" s="14">
        <v>70</v>
      </c>
      <c r="E6" s="5">
        <v>20</v>
      </c>
      <c r="F6" s="8" t="s">
        <v>61</v>
      </c>
      <c r="G6" s="17">
        <v>46164</v>
      </c>
      <c r="H6" s="8" t="str">
        <f>RIGHT(Table1[[#This Row],[Product ID]],2)</f>
        <v>US</v>
      </c>
      <c r="I6" s="8" t="str">
        <f>CONCATENATE(Table1[[#This Row],[Product Name]], " ", Table1[[#This Row],[Brand Name]])</f>
        <v>Backpack North Face</v>
      </c>
      <c r="J6" s="9"/>
    </row>
    <row r="7" spans="1:17" ht="15.75" customHeight="1" x14ac:dyDescent="0.25">
      <c r="A7" s="8" t="s">
        <v>38</v>
      </c>
      <c r="B7" s="8" t="s">
        <v>99</v>
      </c>
      <c r="C7" s="8" t="s">
        <v>39</v>
      </c>
      <c r="D7" s="15">
        <v>309</v>
      </c>
      <c r="E7" s="8">
        <v>45</v>
      </c>
      <c r="F7" s="8" t="s">
        <v>27</v>
      </c>
      <c r="G7" s="17">
        <v>46180</v>
      </c>
      <c r="H7" s="8" t="str">
        <f>RIGHT(Table1[[#This Row],[Product ID]],2)</f>
        <v>UK</v>
      </c>
      <c r="I7" s="8" t="str">
        <f>CONCATENATE(Table1[[#This Row],[Product Name]], " ", Table1[[#This Row],[Brand Name]])</f>
        <v>Headphones Sony</v>
      </c>
      <c r="J7" t="str" cm="1">
        <f t="array" ref="J7:J40">PROPER(B2:B35)</f>
        <v>Laptop</v>
      </c>
    </row>
    <row r="8" spans="1:17" ht="15.75" customHeight="1" x14ac:dyDescent="0.25">
      <c r="A8" s="5" t="s">
        <v>41</v>
      </c>
      <c r="B8" s="5" t="s">
        <v>116</v>
      </c>
      <c r="C8" s="5" t="s">
        <v>42</v>
      </c>
      <c r="D8" s="14">
        <v>30</v>
      </c>
      <c r="E8" s="5">
        <v>5</v>
      </c>
      <c r="F8" s="5" t="s">
        <v>30</v>
      </c>
      <c r="G8" s="16">
        <v>46222</v>
      </c>
      <c r="H8" s="8" t="str">
        <f>RIGHT(Table1[[#This Row],[Product ID]],2)</f>
        <v>UK</v>
      </c>
      <c r="I8" s="8" t="str">
        <f>CONCATENATE(Table1[[#This Row],[Product Name]], " ", Table1[[#This Row],[Brand Name]])</f>
        <v>T-Shirt Adidas</v>
      </c>
      <c r="J8" t="str">
        <v>Sneakers</v>
      </c>
    </row>
    <row r="9" spans="1:17" ht="15.75" customHeight="1" x14ac:dyDescent="0.25">
      <c r="A9" s="8" t="s">
        <v>43</v>
      </c>
      <c r="B9" s="8" t="s">
        <v>100</v>
      </c>
      <c r="C9" s="8" t="s">
        <v>44</v>
      </c>
      <c r="D9" s="15">
        <v>90</v>
      </c>
      <c r="E9" s="8">
        <v>35</v>
      </c>
      <c r="F9" s="8" t="s">
        <v>33</v>
      </c>
      <c r="G9" s="17">
        <v>46257</v>
      </c>
      <c r="H9" s="8" t="str">
        <f>RIGHT(Table1[[#This Row],[Product ID]],2)</f>
        <v>UK</v>
      </c>
      <c r="I9" s="8" t="str">
        <f>CONCATENATE(Table1[[#This Row],[Product Name]], " ", Table1[[#This Row],[Brand Name]])</f>
        <v>Blender Ninja</v>
      </c>
      <c r="J9" t="str">
        <v>Coffee Maker</v>
      </c>
    </row>
    <row r="10" spans="1:17" ht="15.75" customHeight="1" x14ac:dyDescent="0.25">
      <c r="A10" s="5" t="s">
        <v>45</v>
      </c>
      <c r="B10" s="5" t="s">
        <v>101</v>
      </c>
      <c r="C10" s="5" t="s">
        <v>46</v>
      </c>
      <c r="D10" s="14">
        <v>500</v>
      </c>
      <c r="E10" s="5">
        <v>50</v>
      </c>
      <c r="F10" s="5" t="s">
        <v>27</v>
      </c>
      <c r="G10" s="16">
        <v>46270</v>
      </c>
      <c r="H10" s="8" t="str">
        <f>RIGHT(Table1[[#This Row],[Product ID]],2)</f>
        <v>UK</v>
      </c>
      <c r="I10" s="8" t="str">
        <f>CONCATENATE(Table1[[#This Row],[Product Name]], " ", Table1[[#This Row],[Brand Name]])</f>
        <v>Tablet Apple</v>
      </c>
      <c r="J10" t="str">
        <v>Smartphone</v>
      </c>
    </row>
    <row r="11" spans="1:17" ht="15.75" customHeight="1" x14ac:dyDescent="0.25">
      <c r="A11" s="8" t="s">
        <v>47</v>
      </c>
      <c r="B11" s="8" t="s">
        <v>102</v>
      </c>
      <c r="C11" s="8" t="s">
        <v>48</v>
      </c>
      <c r="D11" s="15">
        <v>130</v>
      </c>
      <c r="E11" s="8">
        <v>10</v>
      </c>
      <c r="F11" s="8" t="s">
        <v>49</v>
      </c>
      <c r="G11" s="17">
        <v>46309</v>
      </c>
      <c r="H11" s="8" t="str">
        <f>RIGHT(Table1[[#This Row],[Product ID]],2)</f>
        <v>UK</v>
      </c>
      <c r="I11" s="8" t="str">
        <f>CONCATENATE(Table1[[#This Row],[Product Name]], " ", Table1[[#This Row],[Brand Name]])</f>
        <v>Hiking Boots Timberland</v>
      </c>
      <c r="J11" t="str">
        <v>Backpack</v>
      </c>
    </row>
    <row r="12" spans="1:17" ht="15.75" customHeight="1" x14ac:dyDescent="0.25">
      <c r="A12" s="5" t="s">
        <v>50</v>
      </c>
      <c r="B12" s="5" t="s">
        <v>103</v>
      </c>
      <c r="C12" s="5" t="s">
        <v>51</v>
      </c>
      <c r="D12" s="14">
        <v>950</v>
      </c>
      <c r="E12" s="5">
        <v>25</v>
      </c>
      <c r="F12" s="5" t="s">
        <v>27</v>
      </c>
      <c r="G12" s="16">
        <v>46190</v>
      </c>
      <c r="H12" s="8" t="str">
        <f>RIGHT(Table1[[#This Row],[Product ID]],2)</f>
        <v>IN</v>
      </c>
      <c r="I12" s="8" t="str">
        <f>CONCATENATE(Table1[[#This Row],[Product Name]], " ", Table1[[#This Row],[Brand Name]])</f>
        <v>Laptop HP</v>
      </c>
      <c r="J12" t="str">
        <v>Headphones</v>
      </c>
    </row>
    <row r="13" spans="1:17" ht="15.75" customHeight="1" x14ac:dyDescent="0.25">
      <c r="A13" s="8" t="s">
        <v>52</v>
      </c>
      <c r="B13" s="8" t="s">
        <v>96</v>
      </c>
      <c r="C13" s="8" t="s">
        <v>42</v>
      </c>
      <c r="D13" s="15">
        <v>90</v>
      </c>
      <c r="E13" s="8">
        <v>40</v>
      </c>
      <c r="F13" s="5" t="s">
        <v>30</v>
      </c>
      <c r="G13" s="16">
        <v>46351</v>
      </c>
      <c r="H13" s="8" t="str">
        <f>RIGHT(Table1[[#This Row],[Product ID]],2)</f>
        <v>AU</v>
      </c>
      <c r="I13" s="8" t="str">
        <f>CONCATENATE(Table1[[#This Row],[Product Name]], " ", Table1[[#This Row],[Brand Name]])</f>
        <v>Sneakers Adidas</v>
      </c>
      <c r="J13" t="str">
        <v>T-Shirt</v>
      </c>
    </row>
    <row r="14" spans="1:17" ht="15.75" customHeight="1" x14ac:dyDescent="0.25">
      <c r="A14" s="5" t="s">
        <v>53</v>
      </c>
      <c r="B14" s="5" t="s">
        <v>97</v>
      </c>
      <c r="C14" s="5" t="s">
        <v>54</v>
      </c>
      <c r="D14" s="14">
        <v>120</v>
      </c>
      <c r="E14" s="5">
        <v>35</v>
      </c>
      <c r="F14" s="8" t="s">
        <v>33</v>
      </c>
      <c r="G14" s="17">
        <v>46364</v>
      </c>
      <c r="H14" s="8" t="str">
        <f>RIGHT(Table1[[#This Row],[Product ID]],2)</f>
        <v>DE</v>
      </c>
      <c r="I14" s="8" t="str">
        <f>CONCATENATE(Table1[[#This Row],[Product Name]], " ", Table1[[#This Row],[Brand Name]])</f>
        <v>Coffee Maker Nespresso</v>
      </c>
      <c r="J14" t="str">
        <v>Blender</v>
      </c>
    </row>
    <row r="15" spans="1:17" ht="15.75" customHeight="1" x14ac:dyDescent="0.25">
      <c r="A15" s="8" t="s">
        <v>55</v>
      </c>
      <c r="B15" s="8" t="s">
        <v>104</v>
      </c>
      <c r="C15" s="8" t="s">
        <v>56</v>
      </c>
      <c r="D15" s="15">
        <v>150</v>
      </c>
      <c r="E15" s="8">
        <v>15</v>
      </c>
      <c r="F15" s="8" t="s">
        <v>27</v>
      </c>
      <c r="G15" s="17">
        <v>46071</v>
      </c>
      <c r="H15" s="8" t="str">
        <f>RIGHT(Table1[[#This Row],[Product ID]],2)</f>
        <v>CA</v>
      </c>
      <c r="I15" s="8" t="str">
        <f>CONCATENATE(Table1[[#This Row],[Product Name]], " ", Table1[[#This Row],[Brand Name]])</f>
        <v>Smartwatch Fitbit</v>
      </c>
      <c r="J15" t="str">
        <v>Tablet</v>
      </c>
    </row>
    <row r="16" spans="1:17" ht="15.75" customHeight="1" x14ac:dyDescent="0.25">
      <c r="A16" s="5" t="s">
        <v>57</v>
      </c>
      <c r="B16" s="5" t="s">
        <v>99</v>
      </c>
      <c r="C16" s="5" t="s">
        <v>58</v>
      </c>
      <c r="D16" s="14">
        <v>250</v>
      </c>
      <c r="E16" s="5">
        <v>20</v>
      </c>
      <c r="F16" s="5" t="s">
        <v>27</v>
      </c>
      <c r="G16" s="16">
        <v>46128</v>
      </c>
      <c r="H16" s="8" t="str">
        <f>RIGHT(Table1[[#This Row],[Product ID]],2)</f>
        <v>ES</v>
      </c>
      <c r="I16" s="8" t="str">
        <f>CONCATENATE(Table1[[#This Row],[Product Name]], " ", Table1[[#This Row],[Brand Name]])</f>
        <v>Headphones Bose</v>
      </c>
      <c r="J16" t="str">
        <v>Hiking Boots</v>
      </c>
    </row>
    <row r="17" spans="1:10" ht="15.75" customHeight="1" x14ac:dyDescent="0.25">
      <c r="A17" s="8" t="s">
        <v>59</v>
      </c>
      <c r="B17" s="8" t="s">
        <v>105</v>
      </c>
      <c r="C17" s="8" t="s">
        <v>60</v>
      </c>
      <c r="D17" s="15">
        <v>50</v>
      </c>
      <c r="E17" s="8">
        <v>35</v>
      </c>
      <c r="F17" s="8" t="s">
        <v>61</v>
      </c>
      <c r="G17" s="17">
        <v>46255</v>
      </c>
      <c r="H17" s="8" t="str">
        <f>RIGHT(Table1[[#This Row],[Product ID]],2)</f>
        <v>CA</v>
      </c>
      <c r="I17" s="8" t="str">
        <f>CONCATENATE(Table1[[#This Row],[Product Name]], " ", Table1[[#This Row],[Brand Name]])</f>
        <v>Laptop Bag Samsonite</v>
      </c>
      <c r="J17" t="str">
        <v>Laptop</v>
      </c>
    </row>
    <row r="18" spans="1:10" ht="15.75" customHeight="1" x14ac:dyDescent="0.25">
      <c r="A18" s="5" t="s">
        <v>62</v>
      </c>
      <c r="B18" s="5" t="s">
        <v>104</v>
      </c>
      <c r="C18" s="5" t="s">
        <v>63</v>
      </c>
      <c r="D18" s="14">
        <v>160</v>
      </c>
      <c r="E18" s="5">
        <v>15</v>
      </c>
      <c r="F18" s="5" t="s">
        <v>27</v>
      </c>
      <c r="G18" s="16">
        <v>46254</v>
      </c>
      <c r="H18" s="8" t="str">
        <f>RIGHT(Table1[[#This Row],[Product ID]],2)</f>
        <v>CN</v>
      </c>
      <c r="I18" s="8" t="str">
        <f>CONCATENATE(Table1[[#This Row],[Product Name]], " ", Table1[[#This Row],[Brand Name]])</f>
        <v>Smartwatch Huawei</v>
      </c>
      <c r="J18" t="str">
        <v>Sneakers</v>
      </c>
    </row>
    <row r="19" spans="1:10" ht="15.75" customHeight="1" x14ac:dyDescent="0.25">
      <c r="A19" s="8" t="s">
        <v>64</v>
      </c>
      <c r="B19" s="8" t="s">
        <v>103</v>
      </c>
      <c r="C19" s="8" t="s">
        <v>65</v>
      </c>
      <c r="D19" s="15">
        <v>980</v>
      </c>
      <c r="E19" s="8">
        <v>10</v>
      </c>
      <c r="F19" s="8" t="s">
        <v>27</v>
      </c>
      <c r="G19" s="17">
        <v>46049</v>
      </c>
      <c r="H19" s="8" t="str">
        <f>RIGHT(Table1[[#This Row],[Product ID]],2)</f>
        <v>IT</v>
      </c>
      <c r="I19" s="8" t="str">
        <f>CONCATENATE(Table1[[#This Row],[Product Name]], " ", Table1[[#This Row],[Brand Name]])</f>
        <v>Laptop Asus</v>
      </c>
      <c r="J19" t="str">
        <v>Coffee Maker</v>
      </c>
    </row>
    <row r="20" spans="1:10" ht="15.75" customHeight="1" x14ac:dyDescent="0.25">
      <c r="A20" s="5" t="s">
        <v>66</v>
      </c>
      <c r="B20" s="5" t="s">
        <v>106</v>
      </c>
      <c r="C20" s="5" t="s">
        <v>67</v>
      </c>
      <c r="D20" s="14">
        <v>150</v>
      </c>
      <c r="E20" s="5">
        <v>15</v>
      </c>
      <c r="F20" s="5" t="s">
        <v>30</v>
      </c>
      <c r="G20" s="16">
        <v>46082</v>
      </c>
      <c r="H20" s="8" t="str">
        <f>RIGHT(Table1[[#This Row],[Product ID]],2)</f>
        <v>UK</v>
      </c>
      <c r="I20" s="8" t="str">
        <f>CONCATENATE(Table1[[#This Row],[Product Name]], " ", Table1[[#This Row],[Brand Name]])</f>
        <v>Sunglasses Oakley</v>
      </c>
      <c r="J20" t="str">
        <v>Smartwatch</v>
      </c>
    </row>
    <row r="21" spans="1:10" ht="15.75" customHeight="1" x14ac:dyDescent="0.25">
      <c r="A21" s="8" t="s">
        <v>68</v>
      </c>
      <c r="B21" s="8" t="s">
        <v>107</v>
      </c>
      <c r="C21" s="8" t="s">
        <v>69</v>
      </c>
      <c r="D21" s="15">
        <v>309</v>
      </c>
      <c r="E21" s="8">
        <v>10</v>
      </c>
      <c r="F21" s="8" t="s">
        <v>49</v>
      </c>
      <c r="G21" s="17">
        <v>46248</v>
      </c>
      <c r="H21" s="8" t="str">
        <f>RIGHT(Table1[[#This Row],[Product ID]],2)</f>
        <v>US</v>
      </c>
      <c r="I21" s="8" t="str">
        <f>CONCATENATE(Table1[[#This Row],[Product Name]], " ", Table1[[#This Row],[Brand Name]])</f>
        <v>Camping Tent Coleman</v>
      </c>
      <c r="J21" t="str">
        <v>Headphones</v>
      </c>
    </row>
    <row r="22" spans="1:10" ht="15.75" customHeight="1" x14ac:dyDescent="0.25">
      <c r="A22" s="5" t="s">
        <v>70</v>
      </c>
      <c r="B22" s="5" t="s">
        <v>108</v>
      </c>
      <c r="C22" s="5" t="s">
        <v>71</v>
      </c>
      <c r="D22" s="14">
        <v>700</v>
      </c>
      <c r="E22" s="5">
        <v>50</v>
      </c>
      <c r="F22" s="5" t="s">
        <v>27</v>
      </c>
      <c r="G22" s="16">
        <v>46156</v>
      </c>
      <c r="H22" s="8" t="str">
        <f>RIGHT(Table1[[#This Row],[Product ID]],2)</f>
        <v>RU</v>
      </c>
      <c r="I22" s="8" t="str">
        <f>CONCATENATE(Table1[[#This Row],[Product Name]], " ", Table1[[#This Row],[Brand Name]])</f>
        <v>Camera Nikon</v>
      </c>
      <c r="J22" t="str">
        <v>Laptop Bag</v>
      </c>
    </row>
    <row r="23" spans="1:10" ht="15.75" customHeight="1" x14ac:dyDescent="0.25">
      <c r="A23" s="8" t="s">
        <v>72</v>
      </c>
      <c r="B23" s="8" t="s">
        <v>109</v>
      </c>
      <c r="C23" s="8" t="s">
        <v>73</v>
      </c>
      <c r="D23" s="15">
        <v>80</v>
      </c>
      <c r="E23" s="8">
        <v>20</v>
      </c>
      <c r="F23" s="8" t="s">
        <v>33</v>
      </c>
      <c r="G23" s="17">
        <v>46031</v>
      </c>
      <c r="H23" s="8" t="str">
        <f>RIGHT(Table1[[#This Row],[Product ID]],2)</f>
        <v>CA</v>
      </c>
      <c r="I23" s="8" t="str">
        <f>CONCATENATE(Table1[[#This Row],[Product Name]], " ", Table1[[#This Row],[Brand Name]])</f>
        <v>Microwave Panasonic</v>
      </c>
      <c r="J23" t="str">
        <v>Smartwatch</v>
      </c>
    </row>
    <row r="24" spans="1:10" ht="15.75" customHeight="1" x14ac:dyDescent="0.25">
      <c r="A24" s="5" t="s">
        <v>74</v>
      </c>
      <c r="B24" s="5" t="s">
        <v>110</v>
      </c>
      <c r="C24" s="5" t="s">
        <v>75</v>
      </c>
      <c r="D24" s="14">
        <v>150</v>
      </c>
      <c r="E24" s="5">
        <v>30</v>
      </c>
      <c r="F24" s="5" t="s">
        <v>27</v>
      </c>
      <c r="G24" s="16">
        <v>46222</v>
      </c>
      <c r="H24" s="8" t="str">
        <f>RIGHT(Table1[[#This Row],[Product ID]],2)</f>
        <v>BR</v>
      </c>
      <c r="I24" s="8" t="str">
        <f>CONCATENATE(Table1[[#This Row],[Product Name]], " ", Table1[[#This Row],[Brand Name]])</f>
        <v>Fitness Tracker Xiaomi</v>
      </c>
      <c r="J24" t="str">
        <v>Laptop</v>
      </c>
    </row>
    <row r="25" spans="1:10" ht="15.75" customHeight="1" x14ac:dyDescent="0.25">
      <c r="A25" s="5" t="s">
        <v>76</v>
      </c>
      <c r="B25" s="5" t="s">
        <v>111</v>
      </c>
      <c r="C25" s="5" t="s">
        <v>77</v>
      </c>
      <c r="D25" s="14">
        <v>800</v>
      </c>
      <c r="E25" s="5">
        <v>45</v>
      </c>
      <c r="F25" s="5" t="s">
        <v>27</v>
      </c>
      <c r="G25" s="16">
        <v>46294</v>
      </c>
      <c r="H25" s="8" t="str">
        <f>RIGHT(Table1[[#This Row],[Product ID]],2)</f>
        <v>CA</v>
      </c>
      <c r="I25" s="8" t="str">
        <f>CONCATENATE(Table1[[#This Row],[Product Name]], " ", Table1[[#This Row],[Brand Name]])</f>
        <v>Smartphone Google</v>
      </c>
      <c r="J25" t="str">
        <v>Sunglasses</v>
      </c>
    </row>
    <row r="26" spans="1:10" ht="15.75" customHeight="1" x14ac:dyDescent="0.25">
      <c r="A26" s="8" t="s">
        <v>78</v>
      </c>
      <c r="B26" s="8" t="s">
        <v>106</v>
      </c>
      <c r="C26" s="8" t="s">
        <v>79</v>
      </c>
      <c r="D26" s="15">
        <v>309</v>
      </c>
      <c r="E26" s="8">
        <v>25</v>
      </c>
      <c r="F26" s="8" t="s">
        <v>30</v>
      </c>
      <c r="G26" s="17">
        <v>46176</v>
      </c>
      <c r="H26" s="8" t="str">
        <f>RIGHT(Table1[[#This Row],[Product ID]],2)</f>
        <v>CA</v>
      </c>
      <c r="I26" s="8" t="str">
        <f>CONCATENATE(Table1[[#This Row],[Product Name]], " ", Table1[[#This Row],[Brand Name]])</f>
        <v>Sunglasses Ray-Ban</v>
      </c>
      <c r="J26" t="str">
        <v>Camping Tent</v>
      </c>
    </row>
    <row r="27" spans="1:10" ht="15.75" customHeight="1" x14ac:dyDescent="0.25">
      <c r="A27" s="5" t="s">
        <v>80</v>
      </c>
      <c r="B27" s="5" t="s">
        <v>100</v>
      </c>
      <c r="C27" s="5" t="s">
        <v>81</v>
      </c>
      <c r="D27" s="14">
        <v>400</v>
      </c>
      <c r="E27" s="5">
        <v>40</v>
      </c>
      <c r="F27" s="5" t="s">
        <v>33</v>
      </c>
      <c r="G27" s="16">
        <v>46214</v>
      </c>
      <c r="H27" s="8" t="str">
        <f>RIGHT(Table1[[#This Row],[Product ID]],2)</f>
        <v>CA</v>
      </c>
      <c r="I27" s="8" t="str">
        <f>CONCATENATE(Table1[[#This Row],[Product Name]], " ", Table1[[#This Row],[Brand Name]])</f>
        <v>Blender Vitamix</v>
      </c>
      <c r="J27" t="str">
        <v>Camera</v>
      </c>
    </row>
    <row r="28" spans="1:10" ht="15.75" customHeight="1" x14ac:dyDescent="0.25">
      <c r="A28" s="5" t="s">
        <v>82</v>
      </c>
      <c r="B28" s="5" t="s">
        <v>112</v>
      </c>
      <c r="C28" s="5" t="s">
        <v>83</v>
      </c>
      <c r="D28" s="14">
        <v>60</v>
      </c>
      <c r="E28" s="5">
        <v>30</v>
      </c>
      <c r="F28" s="5" t="s">
        <v>30</v>
      </c>
      <c r="G28" s="16">
        <v>46088</v>
      </c>
      <c r="H28" s="8" t="str">
        <f>RIGHT(Table1[[#This Row],[Product ID]],2)</f>
        <v>CA</v>
      </c>
      <c r="I28" s="8" t="str">
        <f>CONCATENATE(Table1[[#This Row],[Product Name]], " ", Table1[[#This Row],[Brand Name]])</f>
        <v>Dress Zara</v>
      </c>
      <c r="J28" t="str">
        <v>Microwave</v>
      </c>
    </row>
    <row r="29" spans="1:10" ht="15.75" customHeight="1" x14ac:dyDescent="0.25">
      <c r="A29" s="8" t="s">
        <v>84</v>
      </c>
      <c r="B29" s="8" t="s">
        <v>113</v>
      </c>
      <c r="C29" s="8" t="s">
        <v>85</v>
      </c>
      <c r="D29" s="15">
        <v>40</v>
      </c>
      <c r="E29" s="8">
        <v>10</v>
      </c>
      <c r="F29" s="8" t="s">
        <v>33</v>
      </c>
      <c r="G29" s="17">
        <v>46125</v>
      </c>
      <c r="H29" s="8" t="str">
        <f>RIGHT(Table1[[#This Row],[Product ID]],2)</f>
        <v>CA</v>
      </c>
      <c r="I29" s="8" t="str">
        <f>CONCATENATE(Table1[[#This Row],[Product Name]], " ", Table1[[#This Row],[Brand Name]])</f>
        <v>Toaster Hamilton</v>
      </c>
      <c r="J29" t="str">
        <v>Fitness Tracker</v>
      </c>
    </row>
    <row r="30" spans="1:10" ht="15.75" customHeight="1" x14ac:dyDescent="0.25">
      <c r="A30" s="5" t="s">
        <v>86</v>
      </c>
      <c r="B30" s="5" t="s">
        <v>110</v>
      </c>
      <c r="C30" s="5" t="s">
        <v>87</v>
      </c>
      <c r="D30" s="14">
        <v>130</v>
      </c>
      <c r="E30" s="5">
        <v>5</v>
      </c>
      <c r="F30" s="5" t="s">
        <v>27</v>
      </c>
      <c r="G30" s="16">
        <v>46166</v>
      </c>
      <c r="H30" s="8" t="str">
        <f>RIGHT(Table1[[#This Row],[Product ID]],2)</f>
        <v>CA</v>
      </c>
      <c r="I30" s="8" t="str">
        <f>CONCATENATE(Table1[[#This Row],[Product Name]], " ", Table1[[#This Row],[Brand Name]])</f>
        <v>Fitness Tracker Garmin</v>
      </c>
      <c r="J30" t="str">
        <v>Smartphone</v>
      </c>
    </row>
    <row r="31" spans="1:10" ht="15.75" customHeight="1" x14ac:dyDescent="0.25">
      <c r="A31" s="8" t="s">
        <v>88</v>
      </c>
      <c r="B31" s="8" t="s">
        <v>114</v>
      </c>
      <c r="C31" s="8" t="s">
        <v>89</v>
      </c>
      <c r="D31" s="15">
        <v>50</v>
      </c>
      <c r="E31" s="8">
        <v>50</v>
      </c>
      <c r="F31" s="8" t="s">
        <v>30</v>
      </c>
      <c r="G31" s="17">
        <v>46358</v>
      </c>
      <c r="H31" s="8" t="str">
        <f>RIGHT(Table1[[#This Row],[Product ID]],2)</f>
        <v>CA</v>
      </c>
      <c r="I31" s="8" t="str">
        <f>CONCATENATE(Table1[[#This Row],[Product Name]], " ", Table1[[#This Row],[Brand Name]])</f>
        <v>Jeans Levi's</v>
      </c>
      <c r="J31" t="str">
        <v>Sunglasses</v>
      </c>
    </row>
    <row r="32" spans="1:10" ht="15.75" customHeight="1" x14ac:dyDescent="0.25">
      <c r="A32" s="8" t="s">
        <v>90</v>
      </c>
      <c r="B32" s="8" t="s">
        <v>115</v>
      </c>
      <c r="C32" s="8" t="s">
        <v>91</v>
      </c>
      <c r="D32" s="15">
        <v>100</v>
      </c>
      <c r="E32" s="8">
        <v>20</v>
      </c>
      <c r="F32" s="8" t="s">
        <v>61</v>
      </c>
      <c r="G32" s="17">
        <v>46212</v>
      </c>
      <c r="H32" s="8" t="str">
        <f>RIGHT(Table1[[#This Row],[Product ID]],2)</f>
        <v>FR</v>
      </c>
      <c r="I32" s="8" t="str">
        <f>CONCATENATE(Table1[[#This Row],[Product Name]], " ", Table1[[#This Row],[Brand Name]])</f>
        <v>Watch Casio</v>
      </c>
      <c r="J32" t="str">
        <v>Blender</v>
      </c>
    </row>
    <row r="33" spans="10:10" ht="15.75" customHeight="1" x14ac:dyDescent="0.25">
      <c r="J33" t="str">
        <v>Dress</v>
      </c>
    </row>
    <row r="34" spans="10:10" ht="15.75" customHeight="1" x14ac:dyDescent="0.25">
      <c r="J34" t="str">
        <v>Toaster</v>
      </c>
    </row>
    <row r="35" spans="10:10" ht="15.75" customHeight="1" x14ac:dyDescent="0.25">
      <c r="J35" t="str">
        <v>Fitness Tracker</v>
      </c>
    </row>
    <row r="36" spans="10:10" ht="15.75" customHeight="1" x14ac:dyDescent="0.25">
      <c r="J36" t="str">
        <v>Jeans</v>
      </c>
    </row>
    <row r="37" spans="10:10" ht="15.75" customHeight="1" x14ac:dyDescent="0.25">
      <c r="J37" t="str">
        <v>Watch</v>
      </c>
    </row>
    <row r="38" spans="10:10" ht="15.75" customHeight="1" x14ac:dyDescent="0.25">
      <c r="J38" t="str">
        <v/>
      </c>
    </row>
    <row r="39" spans="10:10" ht="15.75" customHeight="1" x14ac:dyDescent="0.25">
      <c r="J39" t="str">
        <v/>
      </c>
    </row>
    <row r="40" spans="10:10" ht="15.75" customHeight="1" x14ac:dyDescent="0.25">
      <c r="J40" t="str">
        <v/>
      </c>
    </row>
    <row r="41" spans="10:10" ht="15.75" customHeight="1" x14ac:dyDescent="0.25"/>
    <row r="42" spans="10:10" ht="15.75" customHeight="1" x14ac:dyDescent="0.25"/>
    <row r="43" spans="10:10" ht="15.75" customHeight="1" x14ac:dyDescent="0.25"/>
    <row r="44" spans="10:10" ht="15.75" customHeight="1" x14ac:dyDescent="0.25"/>
    <row r="45" spans="10:10" ht="15.75" customHeight="1" x14ac:dyDescent="0.25"/>
    <row r="46" spans="10:10" ht="15.75" customHeight="1" x14ac:dyDescent="0.25"/>
    <row r="47" spans="10:10" ht="15.75" customHeight="1" x14ac:dyDescent="0.25"/>
    <row r="48" spans="10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1: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ellIs" priority="2" operator="equal">
      <formula>"Electronics"</formula>
    </cfRule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average using pivot</vt:lpstr>
      <vt:lpstr>explanation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Yogesh</cp:lastModifiedBy>
  <dcterms:created xsi:type="dcterms:W3CDTF">2026-05-19T04:04:58Z</dcterms:created>
  <dcterms:modified xsi:type="dcterms:W3CDTF">2026-05-20T16:28:07Z</dcterms:modified>
</cp:coreProperties>
</file>